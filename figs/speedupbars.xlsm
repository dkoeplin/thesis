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0" yWindow="0" windowWidth="25600" windowHeight="15460" tabRatio="500"/>
  </bookViews>
  <sheets>
    <sheet name="Sheet1" sheetId="1" r:id="rId1"/>
    <sheet name="Sheet2" sheetId="2" r:id="rId2"/>
  </sheets>
  <calcPr calcId="140000" iterateDelta="1E-4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6" i="1" l="1"/>
  <c r="D75" i="1"/>
  <c r="D74" i="1"/>
  <c r="D73" i="1"/>
  <c r="D72" i="1"/>
  <c r="D71" i="1"/>
  <c r="C76" i="1"/>
  <c r="C75" i="1"/>
  <c r="C74" i="1"/>
  <c r="C73" i="1"/>
  <c r="C72" i="1"/>
  <c r="C71" i="1"/>
  <c r="B76" i="1"/>
  <c r="B75" i="1"/>
  <c r="B74" i="1"/>
  <c r="B73" i="1"/>
  <c r="B72" i="1"/>
  <c r="B71" i="1"/>
  <c r="B43" i="1"/>
  <c r="B42" i="1"/>
  <c r="B41" i="1"/>
  <c r="B40" i="1"/>
  <c r="B39" i="1"/>
  <c r="B38" i="1"/>
  <c r="C9" i="1"/>
  <c r="B9" i="1"/>
  <c r="C8" i="1"/>
  <c r="B8" i="1"/>
  <c r="G37" i="1"/>
  <c r="C37" i="1"/>
  <c r="D70" i="1"/>
  <c r="G36" i="1"/>
  <c r="C36" i="1"/>
  <c r="D69" i="1"/>
  <c r="G35" i="1"/>
  <c r="C35" i="1"/>
  <c r="D68" i="1"/>
  <c r="G34" i="1"/>
  <c r="C34" i="1"/>
  <c r="D67" i="1"/>
  <c r="G33" i="1"/>
  <c r="C33" i="1"/>
  <c r="D66" i="1"/>
  <c r="G32" i="1"/>
  <c r="C32" i="1"/>
  <c r="D65" i="1"/>
  <c r="G31" i="1"/>
  <c r="C31" i="1"/>
  <c r="D64" i="1"/>
  <c r="G30" i="1"/>
  <c r="C30" i="1"/>
  <c r="D63" i="1"/>
  <c r="G29" i="1"/>
  <c r="C29" i="1"/>
  <c r="D62" i="1"/>
  <c r="G28" i="1"/>
  <c r="C28" i="1"/>
  <c r="D61" i="1"/>
  <c r="G27" i="1"/>
  <c r="C27" i="1"/>
  <c r="D60" i="1"/>
  <c r="G26" i="1"/>
  <c r="C26" i="1"/>
  <c r="D59" i="1"/>
  <c r="G25" i="1"/>
  <c r="C25" i="1"/>
  <c r="D58" i="1"/>
  <c r="G24" i="1"/>
  <c r="C24" i="1"/>
  <c r="D57" i="1"/>
  <c r="G23" i="1"/>
  <c r="C23" i="1"/>
  <c r="D56" i="1"/>
  <c r="G22" i="1"/>
  <c r="C22" i="1"/>
  <c r="D55" i="1"/>
  <c r="G21" i="1"/>
  <c r="C21" i="1"/>
  <c r="D54" i="1"/>
  <c r="G20" i="1"/>
  <c r="C20" i="1"/>
  <c r="D53" i="1"/>
  <c r="E37" i="1"/>
  <c r="C70" i="1"/>
  <c r="E36" i="1"/>
  <c r="C69" i="1"/>
  <c r="E35" i="1"/>
  <c r="C68" i="1"/>
  <c r="E34" i="1"/>
  <c r="C67" i="1"/>
  <c r="E33" i="1"/>
  <c r="C66" i="1"/>
  <c r="E32" i="1"/>
  <c r="C65" i="1"/>
  <c r="E31" i="1"/>
  <c r="C64" i="1"/>
  <c r="E30" i="1"/>
  <c r="C63" i="1"/>
  <c r="E29" i="1"/>
  <c r="C62" i="1"/>
  <c r="E28" i="1"/>
  <c r="C61" i="1"/>
  <c r="E27" i="1"/>
  <c r="C60" i="1"/>
  <c r="E26" i="1"/>
  <c r="C59" i="1"/>
  <c r="E25" i="1"/>
  <c r="C58" i="1"/>
  <c r="E24" i="1"/>
  <c r="C57" i="1"/>
  <c r="E23" i="1"/>
  <c r="C56" i="1"/>
  <c r="E22" i="1"/>
  <c r="C55" i="1"/>
  <c r="E21" i="1"/>
  <c r="C54" i="1"/>
  <c r="E20" i="1"/>
  <c r="C53" i="1"/>
  <c r="G7" i="1"/>
  <c r="G6" i="1"/>
  <c r="G5" i="1"/>
  <c r="G4" i="1"/>
  <c r="G3" i="1"/>
  <c r="G2" i="1"/>
  <c r="F7" i="1"/>
  <c r="F6" i="1"/>
  <c r="F5" i="1"/>
  <c r="F4" i="1"/>
  <c r="F3" i="1"/>
  <c r="F2" i="1"/>
  <c r="E7" i="1"/>
  <c r="E6" i="1"/>
  <c r="E5" i="1"/>
  <c r="E4" i="1"/>
  <c r="E3" i="1"/>
  <c r="E2" i="1"/>
  <c r="D7" i="1"/>
  <c r="D6" i="1"/>
  <c r="D5" i="1"/>
  <c r="D3" i="1"/>
  <c r="D2" i="1"/>
  <c r="D4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20" i="1"/>
  <c r="B21" i="1"/>
  <c r="B22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4" i="1"/>
  <c r="B7" i="1"/>
  <c r="B5" i="1"/>
  <c r="B2" i="1"/>
  <c r="C7" i="1"/>
  <c r="C5" i="1"/>
  <c r="C4" i="1"/>
  <c r="C3" i="1"/>
  <c r="B3" i="1"/>
  <c r="C2" i="1"/>
</calcChain>
</file>

<file path=xl/sharedStrings.xml><?xml version="1.0" encoding="utf-8"?>
<sst xmlns="http://schemas.openxmlformats.org/spreadsheetml/2006/main" count="127" uniqueCount="99">
  <si>
    <t>tiling</t>
  </si>
  <si>
    <t>metapipelining</t>
  </si>
  <si>
    <t>outerprod</t>
  </si>
  <si>
    <t>sumrows</t>
  </si>
  <si>
    <t>matmult</t>
  </si>
  <si>
    <t>tpchq6</t>
  </si>
  <si>
    <t>gda</t>
  </si>
  <si>
    <t>kmeans</t>
  </si>
  <si>
    <t>no opt</t>
  </si>
  <si>
    <t>logic</t>
  </si>
  <si>
    <t>mem</t>
  </si>
  <si>
    <t>tiling+metapipelining</t>
  </si>
  <si>
    <t>FF</t>
  </si>
  <si>
    <t>base runtime</t>
  </si>
  <si>
    <t>tiling runtime</t>
  </si>
  <si>
    <t>mp runtime</t>
  </si>
  <si>
    <t>87119 / 262400</t>
  </si>
  <si>
    <t>162456 / 524800</t>
  </si>
  <si>
    <t>1097 / 2567</t>
  </si>
  <si>
    <t>585 / 2567</t>
  </si>
  <si>
    <t>58870 / 262400</t>
  </si>
  <si>
    <t>101165 / 524800</t>
  </si>
  <si>
    <t>586 / 2567</t>
  </si>
  <si>
    <t>63347 / 262400</t>
  </si>
  <si>
    <t>101662 / 524800</t>
  </si>
  <si>
    <t>779 / 2567</t>
  </si>
  <si>
    <t>603 / 2567</t>
  </si>
  <si>
    <t>58933 / 262400</t>
  </si>
  <si>
    <t>103644 / 524800</t>
  </si>
  <si>
    <t>565 / 2567</t>
  </si>
  <si>
    <t>93322 / 262400</t>
  </si>
  <si>
    <t>172424 / 524800</t>
  </si>
  <si>
    <t>1196 / 2567</t>
  </si>
  <si>
    <t>593 / 2567</t>
  </si>
  <si>
    <t>590 / 2567</t>
  </si>
  <si>
    <t>63395 / 262400</t>
  </si>
  <si>
    <t>112473 / 524800</t>
  </si>
  <si>
    <t>914 / 2567</t>
  </si>
  <si>
    <t>58985 / 262400</t>
  </si>
  <si>
    <t>103917/524800</t>
  </si>
  <si>
    <t>678 / 2567</t>
  </si>
  <si>
    <t>58971 / 262400</t>
  </si>
  <si>
    <t>103982 / 524800</t>
  </si>
  <si>
    <t>Execution time</t>
  </si>
  <si>
    <t>Unblocked</t>
  </si>
  <si>
    <t>Blocked+No MP</t>
  </si>
  <si>
    <t>Blocked + MP</t>
  </si>
  <si>
    <t>Area</t>
  </si>
  <si>
    <t>MatrixMult</t>
  </si>
  <si>
    <t>90017 / 262400</t>
  </si>
  <si>
    <t>167312 / 524800</t>
  </si>
  <si>
    <t>967 / 2567</t>
  </si>
  <si>
    <t>Kmeans</t>
  </si>
  <si>
    <t>78787 / 262400</t>
  </si>
  <si>
    <t>61872 / 262400</t>
  </si>
  <si>
    <t>61920 / 262400</t>
  </si>
  <si>
    <t>140195 / 524800</t>
  </si>
  <si>
    <t>108158 / 524800</t>
  </si>
  <si>
    <t>108268/524800</t>
  </si>
  <si>
    <t>724 / 2567</t>
  </si>
  <si>
    <t>TPCHQ6</t>
  </si>
  <si>
    <t>58854 / 262400</t>
  </si>
  <si>
    <t>58901 / 262400</t>
  </si>
  <si>
    <t>100991 / 524800</t>
  </si>
  <si>
    <t>101249 / 524800</t>
  </si>
  <si>
    <t>GDA</t>
  </si>
  <si>
    <t>69984 / 262400</t>
  </si>
  <si>
    <t>122163 / 524800</t>
  </si>
  <si>
    <t>VecOuterProd</t>
  </si>
  <si>
    <t>60845 / 262400</t>
  </si>
  <si>
    <t>58910 / 262400</t>
  </si>
  <si>
    <t>105944/524800</t>
  </si>
  <si>
    <t>103879 / 524800</t>
  </si>
  <si>
    <t>550 / 2567</t>
  </si>
  <si>
    <t>SumRows</t>
  </si>
  <si>
    <t>60757 / 262400</t>
  </si>
  <si>
    <t>105127/524800</t>
  </si>
  <si>
    <t>532 / 2567</t>
  </si>
  <si>
    <t>app</t>
  </si>
  <si>
    <t>gemm</t>
  </si>
  <si>
    <t>logreg</t>
  </si>
  <si>
    <t>blackscholes</t>
  </si>
  <si>
    <t>51252 / 262400</t>
  </si>
  <si>
    <t>86024 / 524800</t>
  </si>
  <si>
    <t>359 / 2567</t>
  </si>
  <si>
    <t>162766 / 262400</t>
  </si>
  <si>
    <t>303196 / 524800</t>
  </si>
  <si>
    <t>1966 / 2567</t>
  </si>
  <si>
    <t>51166 / 262400</t>
  </si>
  <si>
    <t>85896 / 524800</t>
  </si>
  <si>
    <t>360 / 2567</t>
  </si>
  <si>
    <t>163014 / 262400</t>
  </si>
  <si>
    <t>303408 / 524800</t>
  </si>
  <si>
    <t>1963 / 2567</t>
  </si>
  <si>
    <t>51090 / 262400</t>
  </si>
  <si>
    <t>85814 / 524800</t>
  </si>
  <si>
    <t>163691 / 262400</t>
  </si>
  <si>
    <t>304711 / 524800</t>
  </si>
  <si>
    <t>1992 / 2567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</si>
</sst>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40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5" fillId="0" borderId="0" xfId="0" applyFont="1"/>
    <xf numFmtId="164" fontId="0" fillId="0" borderId="0" xfId="0" applyNumberFormat="1"/>
    <xf numFmtId="0" fontId="0" fillId="0" borderId="0" xfId="3" applyNumberFormat="1" applyFont="1"/>
    <xf numFmtId="0" fontId="0" fillId="0" borderId="0" xfId="0" applyNumberFormat="1"/>
    <xf numFmtId="0" fontId="0" fillId="0" borderId="0" xfId="0" applyFont="1"/>
    <xf numFmtId="0" fontId="6" fillId="0" borderId="0" xfId="0" applyFont="1"/>
    <xf numFmtId="1" fontId="0" fillId="0" borderId="0" xfId="0" applyNumberFormat="1"/>
  </cellXfs>
  <cellStyles count="240"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Normal" xfId="0" builtinId="0"/>
    <cellStyle name="Percent" xfId="3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50906969962088"/>
          <c:y val="0.0902777777777778"/>
          <c:w val="0.936834572761738"/>
          <c:h val="0.7082174103237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tiling</c:v>
                </c:pt>
              </c:strCache>
            </c:strRef>
          </c:tx>
          <c:invertIfNegative val="0"/>
          <c:dLbls>
            <c:dLbl>
              <c:idx val="3"/>
              <c:layout>
                <c:manualLayout>
                  <c:x val="0.0"/>
                  <c:y val="0.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0.000925998833479216"/>
                  <c:y val="0.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0.00185192475940507"/>
                  <c:y val="-0.0046296296296296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Sheet1!$A$2:$A$9</c:f>
              <c:strCache>
                <c:ptCount val="8"/>
                <c:pt idx="0">
                  <c:v>outerprod</c:v>
                </c:pt>
                <c:pt idx="1">
                  <c:v>sumrows</c:v>
                </c:pt>
                <c:pt idx="2">
                  <c:v>gemm</c:v>
                </c:pt>
                <c:pt idx="3">
                  <c:v>tpchq6</c:v>
                </c:pt>
                <c:pt idx="4">
                  <c:v>gda</c:v>
                </c:pt>
                <c:pt idx="5">
                  <c:v>kmeans</c:v>
                </c:pt>
                <c:pt idx="6">
                  <c:v>logreg</c:v>
                </c:pt>
                <c:pt idx="7">
                  <c:v>blackscholes</c:v>
                </c:pt>
              </c:strCache>
            </c:strRef>
          </c:cat>
          <c:val>
            <c:numRef>
              <c:f>Sheet1!$B$2:$B$9</c:f>
              <c:numCache>
                <c:formatCode>0</c:formatCode>
                <c:ptCount val="8"/>
                <c:pt idx="0">
                  <c:v>1.09709524314313</c:v>
                </c:pt>
                <c:pt idx="1">
                  <c:v>6.462191098242542</c:v>
                </c:pt>
                <c:pt idx="2">
                  <c:v>4.087885120813905</c:v>
                </c:pt>
                <c:pt idx="3">
                  <c:v>1.610537058298252</c:v>
                </c:pt>
                <c:pt idx="4">
                  <c:v>13.4</c:v>
                </c:pt>
                <c:pt idx="5">
                  <c:v>15.48539031836023</c:v>
                </c:pt>
                <c:pt idx="6">
                  <c:v>1.800276752767528</c:v>
                </c:pt>
                <c:pt idx="7">
                  <c:v>1.71468078362074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metapipelining</c:v>
                </c:pt>
              </c:strCache>
            </c:strRef>
          </c:tx>
          <c:invertIfNegative val="0"/>
          <c:dLbls>
            <c:numFmt formatCode="0.0" sourceLinked="0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Sheet1!$A$2:$A$9</c:f>
              <c:strCache>
                <c:ptCount val="8"/>
                <c:pt idx="0">
                  <c:v>outerprod</c:v>
                </c:pt>
                <c:pt idx="1">
                  <c:v>sumrows</c:v>
                </c:pt>
                <c:pt idx="2">
                  <c:v>gemm</c:v>
                </c:pt>
                <c:pt idx="3">
                  <c:v>tpchq6</c:v>
                </c:pt>
                <c:pt idx="4">
                  <c:v>gda</c:v>
                </c:pt>
                <c:pt idx="5">
                  <c:v>kmeans</c:v>
                </c:pt>
                <c:pt idx="6">
                  <c:v>logreg</c:v>
                </c:pt>
                <c:pt idx="7">
                  <c:v>blackscholes</c:v>
                </c:pt>
              </c:strCache>
            </c:strRef>
          </c:cat>
          <c:val>
            <c:numRef>
              <c:f>Sheet1!$C$2:$C$9</c:f>
              <c:numCache>
                <c:formatCode>0</c:formatCode>
                <c:ptCount val="8"/>
                <c:pt idx="0">
                  <c:v>1.143582077727671</c:v>
                </c:pt>
                <c:pt idx="1">
                  <c:v>11.49341317365269</c:v>
                </c:pt>
                <c:pt idx="2">
                  <c:v>6.261896753246753</c:v>
                </c:pt>
                <c:pt idx="3">
                  <c:v>2.000158428390368</c:v>
                </c:pt>
                <c:pt idx="4">
                  <c:v>39.4</c:v>
                </c:pt>
                <c:pt idx="5">
                  <c:v>19.68310140222973</c:v>
                </c:pt>
                <c:pt idx="6">
                  <c:v>2.388616891064871</c:v>
                </c:pt>
                <c:pt idx="7">
                  <c:v>3.529026193179191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109897080"/>
        <c:axId val="2109900056"/>
      </c:barChart>
      <c:catAx>
        <c:axId val="2109897080"/>
        <c:scaling>
          <c:orientation val="minMax"/>
        </c:scaling>
        <c:delete val="0"/>
        <c:axPos val="b"/>
        <c:majorTickMark val="out"/>
        <c:minorTickMark val="none"/>
        <c:tickLblPos val="nextTo"/>
        <c:crossAx val="2109900056"/>
        <c:crosses val="autoZero"/>
        <c:auto val="1"/>
        <c:lblAlgn val="ctr"/>
        <c:lblOffset val="100"/>
        <c:noMultiLvlLbl val="0"/>
      </c:catAx>
      <c:valAx>
        <c:axId val="21099000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speedup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10989708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547383347914844"/>
          <c:y val="0.0357742782152231"/>
          <c:w val="0.935789515893847"/>
          <c:h val="0.7726946631671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Sheet1!$C$52</c:f>
              <c:strCache>
                <c:ptCount val="1"/>
                <c:pt idx="0">
                  <c:v>tiling</c:v>
                </c:pt>
              </c:strCache>
            </c:strRef>
          </c:tx>
          <c:invertIfNegative val="0"/>
          <c:cat>
            <c:multiLvlStrRef>
              <c:f>Sheet1!$A$53:$B$76</c:f>
              <c:multiLvlStrCache>
                <c:ptCount val="24"/>
                <c:lvl>
                  <c:pt idx="0">
                    <c:v>logic</c:v>
                  </c:pt>
                  <c:pt idx="1">
                    <c:v>FF</c:v>
                  </c:pt>
                  <c:pt idx="2">
                    <c:v>mem</c:v>
                  </c:pt>
                  <c:pt idx="3">
                    <c:v>logic</c:v>
                  </c:pt>
                  <c:pt idx="4">
                    <c:v>FF</c:v>
                  </c:pt>
                  <c:pt idx="5">
                    <c:v>mem</c:v>
                  </c:pt>
                  <c:pt idx="6">
                    <c:v>logic</c:v>
                  </c:pt>
                  <c:pt idx="7">
                    <c:v>FF</c:v>
                  </c:pt>
                  <c:pt idx="8">
                    <c:v>mem</c:v>
                  </c:pt>
                  <c:pt idx="9">
                    <c:v>logic</c:v>
                  </c:pt>
                  <c:pt idx="10">
                    <c:v>FF</c:v>
                  </c:pt>
                  <c:pt idx="11">
                    <c:v>mem</c:v>
                  </c:pt>
                  <c:pt idx="12">
                    <c:v>logic</c:v>
                  </c:pt>
                  <c:pt idx="13">
                    <c:v>FF</c:v>
                  </c:pt>
                  <c:pt idx="14">
                    <c:v>mem</c:v>
                  </c:pt>
                  <c:pt idx="15">
                    <c:v>logic</c:v>
                  </c:pt>
                  <c:pt idx="16">
                    <c:v>FF</c:v>
                  </c:pt>
                  <c:pt idx="17">
                    <c:v>mem</c:v>
                  </c:pt>
                  <c:pt idx="18">
                    <c:v>logic</c:v>
                  </c:pt>
                  <c:pt idx="19">
                    <c:v>FF</c:v>
                  </c:pt>
                  <c:pt idx="20">
                    <c:v>mem</c:v>
                  </c:pt>
                  <c:pt idx="21">
                    <c:v>logic</c:v>
                  </c:pt>
                  <c:pt idx="22">
                    <c:v>FF</c:v>
                  </c:pt>
                  <c:pt idx="23">
                    <c:v>mem</c:v>
                  </c:pt>
                </c:lvl>
                <c:lvl>
                  <c:pt idx="0">
                    <c:v>outerprod</c:v>
                  </c:pt>
                  <c:pt idx="3">
                    <c:v>sumrows</c:v>
                  </c:pt>
                  <c:pt idx="6">
                    <c:v>matmult</c:v>
                  </c:pt>
                  <c:pt idx="9">
                    <c:v>tpchq6</c:v>
                  </c:pt>
                  <c:pt idx="12">
                    <c:v>gda</c:v>
                  </c:pt>
                  <c:pt idx="15">
                    <c:v>kmeans</c:v>
                  </c:pt>
                  <c:pt idx="18">
                    <c:v>logreg</c:v>
                  </c:pt>
                  <c:pt idx="21">
                    <c:v>blackscholes</c:v>
                  </c:pt>
                </c:lvl>
              </c:multiLvlStrCache>
            </c:multiLvlStrRef>
          </c:cat>
          <c:val>
            <c:numRef>
              <c:f>Sheet1!$C$53:$C$76</c:f>
              <c:numCache>
                <c:formatCode>General</c:formatCode>
                <c:ptCount val="24"/>
                <c:pt idx="0">
                  <c:v>0.968197879858657</c:v>
                </c:pt>
                <c:pt idx="1">
                  <c:v>0.980508570565582</c:v>
                </c:pt>
                <c:pt idx="2">
                  <c:v>1.096363636363636</c:v>
                </c:pt>
                <c:pt idx="3">
                  <c:v>0.969978767878598</c:v>
                </c:pt>
                <c:pt idx="4">
                  <c:v>0.985893252922655</c:v>
                </c:pt>
                <c:pt idx="5">
                  <c:v>1.06203007518797</c:v>
                </c:pt>
                <c:pt idx="6">
                  <c:v>0.967806081073575</c:v>
                </c:pt>
                <c:pt idx="7">
                  <c:v>0.970976379458736</c:v>
                </c:pt>
                <c:pt idx="8">
                  <c:v>1.134436401240951</c:v>
                </c:pt>
                <c:pt idx="9">
                  <c:v>0.999728214710379</c:v>
                </c:pt>
                <c:pt idx="10">
                  <c:v>0.998280037562398</c:v>
                </c:pt>
                <c:pt idx="11">
                  <c:v>1.0</c:v>
                </c:pt>
                <c:pt idx="12">
                  <c:v>0.905164037494284</c:v>
                </c:pt>
                <c:pt idx="13">
                  <c:v>0.832183230601737</c:v>
                </c:pt>
                <c:pt idx="14">
                  <c:v>1.148967551622419</c:v>
                </c:pt>
                <c:pt idx="15">
                  <c:v>0.785307220734385</c:v>
                </c:pt>
                <c:pt idx="16">
                  <c:v>0.771482577838011</c:v>
                </c:pt>
                <c:pt idx="17">
                  <c:v>0.808011049723757</c:v>
                </c:pt>
                <c:pt idx="18">
                  <c:v>0.998322016701787</c:v>
                </c:pt>
                <c:pt idx="19">
                  <c:v>0.998512043150749</c:v>
                </c:pt>
                <c:pt idx="20">
                  <c:v>1.002785515320334</c:v>
                </c:pt>
                <c:pt idx="21">
                  <c:v>1.001523659732377</c:v>
                </c:pt>
                <c:pt idx="22">
                  <c:v>1.000699217667779</c:v>
                </c:pt>
                <c:pt idx="23">
                  <c:v>0.998474059003052</c:v>
                </c:pt>
              </c:numCache>
            </c:numRef>
          </c:val>
        </c:ser>
        <c:ser>
          <c:idx val="1"/>
          <c:order val="1"/>
          <c:tx>
            <c:strRef>
              <c:f>Sheet1!$D$52</c:f>
              <c:strCache>
                <c:ptCount val="1"/>
                <c:pt idx="0">
                  <c:v>tiling+metapipelining</c:v>
                </c:pt>
              </c:strCache>
            </c:strRef>
          </c:tx>
          <c:invertIfNegative val="0"/>
          <c:cat>
            <c:multiLvlStrRef>
              <c:f>Sheet1!$A$53:$B$76</c:f>
              <c:multiLvlStrCache>
                <c:ptCount val="24"/>
                <c:lvl>
                  <c:pt idx="0">
                    <c:v>logic</c:v>
                  </c:pt>
                  <c:pt idx="1">
                    <c:v>FF</c:v>
                  </c:pt>
                  <c:pt idx="2">
                    <c:v>mem</c:v>
                  </c:pt>
                  <c:pt idx="3">
                    <c:v>logic</c:v>
                  </c:pt>
                  <c:pt idx="4">
                    <c:v>FF</c:v>
                  </c:pt>
                  <c:pt idx="5">
                    <c:v>mem</c:v>
                  </c:pt>
                  <c:pt idx="6">
                    <c:v>logic</c:v>
                  </c:pt>
                  <c:pt idx="7">
                    <c:v>FF</c:v>
                  </c:pt>
                  <c:pt idx="8">
                    <c:v>mem</c:v>
                  </c:pt>
                  <c:pt idx="9">
                    <c:v>logic</c:v>
                  </c:pt>
                  <c:pt idx="10">
                    <c:v>FF</c:v>
                  </c:pt>
                  <c:pt idx="11">
                    <c:v>mem</c:v>
                  </c:pt>
                  <c:pt idx="12">
                    <c:v>logic</c:v>
                  </c:pt>
                  <c:pt idx="13">
                    <c:v>FF</c:v>
                  </c:pt>
                  <c:pt idx="14">
                    <c:v>mem</c:v>
                  </c:pt>
                  <c:pt idx="15">
                    <c:v>logic</c:v>
                  </c:pt>
                  <c:pt idx="16">
                    <c:v>FF</c:v>
                  </c:pt>
                  <c:pt idx="17">
                    <c:v>mem</c:v>
                  </c:pt>
                  <c:pt idx="18">
                    <c:v>logic</c:v>
                  </c:pt>
                  <c:pt idx="19">
                    <c:v>FF</c:v>
                  </c:pt>
                  <c:pt idx="20">
                    <c:v>mem</c:v>
                  </c:pt>
                  <c:pt idx="21">
                    <c:v>logic</c:v>
                  </c:pt>
                  <c:pt idx="22">
                    <c:v>FF</c:v>
                  </c:pt>
                  <c:pt idx="23">
                    <c:v>mem</c:v>
                  </c:pt>
                </c:lvl>
                <c:lvl>
                  <c:pt idx="0">
                    <c:v>outerprod</c:v>
                  </c:pt>
                  <c:pt idx="3">
                    <c:v>sumrows</c:v>
                  </c:pt>
                  <c:pt idx="6">
                    <c:v>matmult</c:v>
                  </c:pt>
                  <c:pt idx="9">
                    <c:v>tpchq6</c:v>
                  </c:pt>
                  <c:pt idx="12">
                    <c:v>gda</c:v>
                  </c:pt>
                  <c:pt idx="15">
                    <c:v>kmeans</c:v>
                  </c:pt>
                  <c:pt idx="18">
                    <c:v>logreg</c:v>
                  </c:pt>
                  <c:pt idx="21">
                    <c:v>blackscholes</c:v>
                  </c:pt>
                </c:lvl>
              </c:multiLvlStrCache>
            </c:multiLvlStrRef>
          </c:cat>
          <c:val>
            <c:numRef>
              <c:f>Sheet1!$D$53:$D$76</c:f>
              <c:numCache>
                <c:formatCode>General</c:formatCode>
                <c:ptCount val="24"/>
                <c:pt idx="0">
                  <c:v>0.969430520174213</c:v>
                </c:pt>
                <c:pt idx="1">
                  <c:v>0.98086725062297</c:v>
                </c:pt>
                <c:pt idx="2">
                  <c:v>1.232727272727273</c:v>
                </c:pt>
                <c:pt idx="3">
                  <c:v>0.970604210214461</c:v>
                </c:pt>
                <c:pt idx="4">
                  <c:v>0.989108411730573</c:v>
                </c:pt>
                <c:pt idx="5">
                  <c:v>1.133458646616541</c:v>
                </c:pt>
                <c:pt idx="6">
                  <c:v>1.036715287112434</c:v>
                </c:pt>
                <c:pt idx="7">
                  <c:v>1.030553696088744</c:v>
                </c:pt>
                <c:pt idx="8">
                  <c:v>1.236814891416753</c:v>
                </c:pt>
                <c:pt idx="9">
                  <c:v>1.000526583998641</c:v>
                </c:pt>
                <c:pt idx="10">
                  <c:v>1.000830326694015</c:v>
                </c:pt>
                <c:pt idx="11">
                  <c:v>1.006825938566553</c:v>
                </c:pt>
                <c:pt idx="12">
                  <c:v>0.905849908550526</c:v>
                </c:pt>
                <c:pt idx="13">
                  <c:v>0.920679747550404</c:v>
                </c:pt>
                <c:pt idx="14">
                  <c:v>1.348082595870206</c:v>
                </c:pt>
                <c:pt idx="15">
                  <c:v>0.785916458298958</c:v>
                </c:pt>
                <c:pt idx="16">
                  <c:v>0.772267199258176</c:v>
                </c:pt>
                <c:pt idx="17">
                  <c:v>0.819060773480663</c:v>
                </c:pt>
                <c:pt idx="18">
                  <c:v>0.996839147740576</c:v>
                </c:pt>
                <c:pt idx="19">
                  <c:v>0.997558820794197</c:v>
                </c:pt>
                <c:pt idx="20">
                  <c:v>1.002785515320334</c:v>
                </c:pt>
                <c:pt idx="21">
                  <c:v>1.005683005050195</c:v>
                </c:pt>
                <c:pt idx="22">
                  <c:v>1.004996767767385</c:v>
                </c:pt>
                <c:pt idx="23">
                  <c:v>1.01322482197355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280856"/>
        <c:axId val="2109283864"/>
      </c:barChart>
      <c:catAx>
        <c:axId val="2109280856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anchor="ctr"/>
          <a:lstStyle/>
          <a:p>
            <a:pPr algn="ctr">
              <a:defRPr sz="1100"/>
            </a:pPr>
            <a:endParaRPr lang="en-US"/>
          </a:p>
        </c:txPr>
        <c:crossAx val="2109283864"/>
        <c:crossesAt val="1.0"/>
        <c:auto val="1"/>
        <c:lblAlgn val="ctr"/>
        <c:lblOffset val="0"/>
        <c:noMultiLvlLbl val="0"/>
      </c:catAx>
      <c:valAx>
        <c:axId val="2109283864"/>
        <c:scaling>
          <c:orientation val="minMax"/>
          <c:max val="1.4"/>
          <c:min val="0.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resource use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09280856"/>
        <c:crosses val="autoZero"/>
        <c:crossBetween val="between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787400</xdr:colOff>
      <xdr:row>31</xdr:row>
      <xdr:rowOff>0</xdr:rowOff>
    </xdr:from>
    <xdr:to>
      <xdr:col>12</xdr:col>
      <xdr:colOff>800100</xdr:colOff>
      <xdr:row>45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800100</xdr:colOff>
      <xdr:row>45</xdr:row>
      <xdr:rowOff>12700</xdr:rowOff>
    </xdr:from>
    <xdr:to>
      <xdr:col>12</xdr:col>
      <xdr:colOff>812800</xdr:colOff>
      <xdr:row>59</xdr:row>
      <xdr:rowOff>88900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76"/>
  <sheetViews>
    <sheetView tabSelected="1" topLeftCell="A30" workbookViewId="0">
      <selection activeCell="N49" sqref="N49"/>
    </sheetView>
  </sheetViews>
  <sheetFormatPr baseColWidth="10" defaultRowHeight="15" x14ac:dyDescent="0"/>
  <cols>
    <col min="2" max="2" width="12.83203125" bestFit="1" customWidth="1"/>
    <col min="3" max="3" width="20.6640625" bestFit="1" customWidth="1"/>
    <col min="4" max="4" width="20.33203125" bestFit="1" customWidth="1"/>
    <col min="5" max="6" width="21.6640625" customWidth="1"/>
    <col min="7" max="7" width="17.6640625" customWidth="1"/>
  </cols>
  <sheetData>
    <row r="1" spans="1:7">
      <c r="A1" t="s">
        <v>78</v>
      </c>
      <c r="B1" t="s">
        <v>0</v>
      </c>
      <c r="C1" t="s">
        <v>1</v>
      </c>
      <c r="D1" t="s">
        <v>13</v>
      </c>
      <c r="E1" t="s">
        <v>14</v>
      </c>
      <c r="F1" t="s">
        <v>15</v>
      </c>
      <c r="G1" t="s">
        <v>78</v>
      </c>
    </row>
    <row r="2" spans="1:7">
      <c r="A2" t="s">
        <v>2</v>
      </c>
      <c r="B2" s="7">
        <f>$D2/E2</f>
        <v>1.0970952431431298</v>
      </c>
      <c r="C2" s="7">
        <f t="shared" ref="C2:C8" si="0">$D2/F2</f>
        <v>1.1435820777276715</v>
      </c>
      <c r="D2" s="5">
        <f>Sheet2!B16</f>
        <v>2.7425899999999999</v>
      </c>
      <c r="E2" s="5">
        <f>Sheet2!D16</f>
        <v>2.4998649999999998</v>
      </c>
      <c r="F2" s="5">
        <f>Sheet2!F16</f>
        <v>2.3982450000000002</v>
      </c>
      <c r="G2" s="5" t="str">
        <f>Sheet2!A16</f>
        <v>VecOuterProd</v>
      </c>
    </row>
    <row r="3" spans="1:7">
      <c r="A3" t="s">
        <v>3</v>
      </c>
      <c r="B3" s="7">
        <f t="shared" ref="B3:B8" si="1">$D3/E3</f>
        <v>6.4621910982425419</v>
      </c>
      <c r="C3" s="7">
        <f t="shared" si="0"/>
        <v>11.493413173652694</v>
      </c>
      <c r="D3" s="5">
        <f>Sheet2!B19</f>
        <v>38.387999999999998</v>
      </c>
      <c r="E3" s="5">
        <f>Sheet2!D19</f>
        <v>5.9404000000000003</v>
      </c>
      <c r="F3" s="5">
        <f>Sheet2!F19</f>
        <v>3.34</v>
      </c>
      <c r="G3" s="5" t="str">
        <f>Sheet2!A19</f>
        <v>SumRows</v>
      </c>
    </row>
    <row r="4" spans="1:7">
      <c r="A4" t="s">
        <v>79</v>
      </c>
      <c r="B4" s="7">
        <f t="shared" si="1"/>
        <v>4.0878851208139046</v>
      </c>
      <c r="C4" s="7">
        <f t="shared" si="0"/>
        <v>6.2618967532467531</v>
      </c>
      <c r="D4" s="5">
        <f>Sheet2!B4</f>
        <v>9.6433210000000003</v>
      </c>
      <c r="E4" s="5">
        <f>Sheet2!D4</f>
        <v>2.359</v>
      </c>
      <c r="F4" s="5">
        <f>Sheet2!F4</f>
        <v>1.54</v>
      </c>
      <c r="G4" s="5" t="str">
        <f>Sheet2!A4</f>
        <v>MatrixMult</v>
      </c>
    </row>
    <row r="5" spans="1:7">
      <c r="A5" t="s">
        <v>5</v>
      </c>
      <c r="B5" s="7">
        <f t="shared" si="1"/>
        <v>1.6105370582982521</v>
      </c>
      <c r="C5" s="7">
        <f t="shared" si="0"/>
        <v>2.0001584283903675</v>
      </c>
      <c r="D5" s="5">
        <f>Sheet2!B10</f>
        <v>1.2625</v>
      </c>
      <c r="E5" s="5">
        <f>Sheet2!D10</f>
        <v>0.78390000000000004</v>
      </c>
      <c r="F5" s="5">
        <f>Sheet2!F10</f>
        <v>0.63119999999999998</v>
      </c>
      <c r="G5" s="5" t="str">
        <f>Sheet2!A10</f>
        <v>TPCHQ6</v>
      </c>
    </row>
    <row r="6" spans="1:7">
      <c r="A6" t="s">
        <v>6</v>
      </c>
      <c r="B6" s="7">
        <v>13.4</v>
      </c>
      <c r="C6" s="7">
        <v>39.4</v>
      </c>
      <c r="D6" s="5">
        <f>Sheet2!B13</f>
        <v>3.593</v>
      </c>
      <c r="E6" s="5">
        <f>Sheet2!D13</f>
        <v>1.3580000000000001</v>
      </c>
      <c r="F6" s="5">
        <f>Sheet2!F13</f>
        <v>0.4622</v>
      </c>
      <c r="G6" s="5" t="str">
        <f>Sheet2!A13</f>
        <v>GDA</v>
      </c>
    </row>
    <row r="7" spans="1:7">
      <c r="A7" t="s">
        <v>7</v>
      </c>
      <c r="B7" s="7">
        <f t="shared" si="1"/>
        <v>15.485390318360228</v>
      </c>
      <c r="C7" s="7">
        <f t="shared" si="0"/>
        <v>19.683101402229731</v>
      </c>
      <c r="D7" s="5">
        <f>Sheet2!B7</f>
        <v>35.508000000000003</v>
      </c>
      <c r="E7" s="5">
        <f>Sheet2!D7</f>
        <v>2.2930000000000001</v>
      </c>
      <c r="F7" s="5">
        <f>Sheet2!F7</f>
        <v>1.803984</v>
      </c>
      <c r="G7" s="5" t="str">
        <f>Sheet2!A7</f>
        <v>Kmeans</v>
      </c>
    </row>
    <row r="8" spans="1:7">
      <c r="A8" t="s">
        <v>80</v>
      </c>
      <c r="B8" s="7">
        <f t="shared" si="1"/>
        <v>1.8002767527675276</v>
      </c>
      <c r="C8" s="7">
        <f t="shared" si="0"/>
        <v>2.3886168910648715</v>
      </c>
      <c r="D8" s="5">
        <v>3.903</v>
      </c>
      <c r="E8" s="5">
        <v>2.1680000000000001</v>
      </c>
      <c r="F8" s="5">
        <v>1.6339999999999999</v>
      </c>
    </row>
    <row r="9" spans="1:7">
      <c r="A9" t="s">
        <v>81</v>
      </c>
      <c r="B9" s="7">
        <f t="shared" ref="B9" si="2">$D9/E9</f>
        <v>1.7146807836207394</v>
      </c>
      <c r="C9" s="7">
        <f t="shared" ref="C9" si="3">$D9/F9</f>
        <v>3.5290261931791913</v>
      </c>
      <c r="D9">
        <v>0.68699200000000005</v>
      </c>
      <c r="E9">
        <v>0.40065299999999998</v>
      </c>
      <c r="F9">
        <v>0.19466900000000001</v>
      </c>
    </row>
    <row r="13" spans="1:7">
      <c r="F13">
        <v>1</v>
      </c>
    </row>
    <row r="15" spans="1:7">
      <c r="A15" t="s">
        <v>9</v>
      </c>
    </row>
    <row r="16" spans="1:7">
      <c r="A16" t="s">
        <v>12</v>
      </c>
    </row>
    <row r="17" spans="1:7">
      <c r="A17" t="s">
        <v>10</v>
      </c>
    </row>
    <row r="19" spans="1:7">
      <c r="C19" t="s">
        <v>8</v>
      </c>
      <c r="E19" t="s">
        <v>0</v>
      </c>
      <c r="G19" t="s">
        <v>1</v>
      </c>
    </row>
    <row r="20" spans="1:7">
      <c r="A20" s="1" t="s">
        <v>2</v>
      </c>
      <c r="B20" t="str">
        <f>$A$15</f>
        <v>logic</v>
      </c>
      <c r="C20" s="3" t="str">
        <f>Sheet2!C16</f>
        <v>60845 / 262400</v>
      </c>
      <c r="D20" s="3"/>
      <c r="E20" s="3" t="str">
        <f>Sheet2!E16</f>
        <v>58910 / 262400</v>
      </c>
      <c r="G20" s="3" t="str">
        <f>Sheet2!G16</f>
        <v>58985 / 262400</v>
      </c>
    </row>
    <row r="21" spans="1:7">
      <c r="B21" t="str">
        <f>$A$16</f>
        <v>FF</v>
      </c>
      <c r="C21" s="3" t="str">
        <f>Sheet2!C17</f>
        <v>105944/524800</v>
      </c>
      <c r="D21" s="3"/>
      <c r="E21" s="3" t="str">
        <f>Sheet2!E17</f>
        <v>103879 / 524800</v>
      </c>
      <c r="G21" s="3" t="str">
        <f>Sheet2!G17</f>
        <v>103917/524800</v>
      </c>
    </row>
    <row r="22" spans="1:7">
      <c r="B22" t="str">
        <f>$A$17</f>
        <v>mem</v>
      </c>
      <c r="C22" s="3" t="str">
        <f>Sheet2!C18</f>
        <v>550 / 2567</v>
      </c>
      <c r="D22" s="3"/>
      <c r="E22" s="3" t="str">
        <f>Sheet2!E18</f>
        <v>603 / 2567</v>
      </c>
      <c r="G22" s="3" t="str">
        <f>Sheet2!G18</f>
        <v>678 / 2567</v>
      </c>
    </row>
    <row r="23" spans="1:7">
      <c r="A23" s="1" t="s">
        <v>3</v>
      </c>
      <c r="B23" t="str">
        <f>$A$15</f>
        <v>logic</v>
      </c>
      <c r="C23" s="3" t="str">
        <f>Sheet2!C19</f>
        <v>60757 / 262400</v>
      </c>
      <c r="D23" s="3"/>
      <c r="E23" s="3" t="str">
        <f>Sheet2!E19</f>
        <v>58933 / 262400</v>
      </c>
      <c r="G23" s="3" t="str">
        <f>Sheet2!G19</f>
        <v>58971 / 262400</v>
      </c>
    </row>
    <row r="24" spans="1:7">
      <c r="B24" t="str">
        <f>$A$16</f>
        <v>FF</v>
      </c>
      <c r="C24" s="3" t="str">
        <f>Sheet2!C20</f>
        <v>105127/524800</v>
      </c>
      <c r="D24" s="3"/>
      <c r="E24" s="3" t="str">
        <f>Sheet2!E20</f>
        <v>103644 / 524800</v>
      </c>
      <c r="G24" s="3" t="str">
        <f>Sheet2!G20</f>
        <v>103982 / 524800</v>
      </c>
    </row>
    <row r="25" spans="1:7">
      <c r="B25" t="str">
        <f>$A$17</f>
        <v>mem</v>
      </c>
      <c r="C25" s="3" t="str">
        <f>Sheet2!C21</f>
        <v>532 / 2567</v>
      </c>
      <c r="D25" s="3"/>
      <c r="E25" s="3" t="str">
        <f>Sheet2!E21</f>
        <v>565 / 2567</v>
      </c>
      <c r="G25" s="3" t="str">
        <f>Sheet2!G21</f>
        <v>603 / 2567</v>
      </c>
    </row>
    <row r="26" spans="1:7">
      <c r="A26" s="1" t="s">
        <v>79</v>
      </c>
      <c r="B26" t="str">
        <f>$A$15</f>
        <v>logic</v>
      </c>
      <c r="C26" s="3" t="str">
        <f>Sheet2!C4</f>
        <v>90017 / 262400</v>
      </c>
      <c r="D26" s="3"/>
      <c r="E26" s="3" t="str">
        <f>Sheet2!E4</f>
        <v>87119 / 262400</v>
      </c>
      <c r="G26" s="3" t="str">
        <f>Sheet2!G4</f>
        <v>93322 / 262400</v>
      </c>
    </row>
    <row r="27" spans="1:7">
      <c r="B27" t="str">
        <f>$A$16</f>
        <v>FF</v>
      </c>
      <c r="C27" s="3" t="str">
        <f>Sheet2!C5</f>
        <v>167312 / 524800</v>
      </c>
      <c r="D27" s="3"/>
      <c r="E27" s="3" t="str">
        <f>Sheet2!E5</f>
        <v>162456 / 524800</v>
      </c>
      <c r="G27" s="3" t="str">
        <f>Sheet2!G5</f>
        <v>172424 / 524800</v>
      </c>
    </row>
    <row r="28" spans="1:7">
      <c r="B28" t="str">
        <f>$A$17</f>
        <v>mem</v>
      </c>
      <c r="C28" s="3" t="str">
        <f>Sheet2!C6</f>
        <v>967 / 2567</v>
      </c>
      <c r="D28" s="3"/>
      <c r="E28" s="3" t="str">
        <f>Sheet2!E6</f>
        <v>1097 / 2567</v>
      </c>
      <c r="G28" s="3" t="str">
        <f>Sheet2!G6</f>
        <v>1196 / 2567</v>
      </c>
    </row>
    <row r="29" spans="1:7">
      <c r="A29" s="1" t="s">
        <v>5</v>
      </c>
      <c r="B29" t="str">
        <f>$A$15</f>
        <v>logic</v>
      </c>
      <c r="C29" s="3" t="str">
        <f>Sheet2!C10</f>
        <v>58870 / 262400</v>
      </c>
      <c r="D29" s="3"/>
      <c r="E29" s="3" t="str">
        <f>Sheet2!E10</f>
        <v>58854 / 262400</v>
      </c>
      <c r="G29" s="3" t="str">
        <f>Sheet2!G10</f>
        <v>58901 / 262400</v>
      </c>
    </row>
    <row r="30" spans="1:7">
      <c r="B30" t="str">
        <f>$A$16</f>
        <v>FF</v>
      </c>
      <c r="C30" s="3" t="str">
        <f>Sheet2!C11</f>
        <v>101165 / 524800</v>
      </c>
      <c r="D30" s="3"/>
      <c r="E30" s="3" t="str">
        <f>Sheet2!E11</f>
        <v>100991 / 524800</v>
      </c>
      <c r="G30" s="3" t="str">
        <f>Sheet2!G11</f>
        <v>101249 / 524800</v>
      </c>
    </row>
    <row r="31" spans="1:7">
      <c r="B31" t="str">
        <f>$A$17</f>
        <v>mem</v>
      </c>
      <c r="C31" s="3" t="str">
        <f>Sheet2!C12</f>
        <v>586 / 2567</v>
      </c>
      <c r="D31" s="3"/>
      <c r="E31" s="3" t="str">
        <f>Sheet2!E12</f>
        <v>586 / 2567</v>
      </c>
      <c r="G31" s="3" t="str">
        <f>Sheet2!G12</f>
        <v>590 / 2567</v>
      </c>
    </row>
    <row r="32" spans="1:7">
      <c r="A32" s="1" t="s">
        <v>6</v>
      </c>
      <c r="B32" t="str">
        <f>$A$15</f>
        <v>logic</v>
      </c>
      <c r="C32" s="3" t="str">
        <f>Sheet2!C13</f>
        <v>69984 / 262400</v>
      </c>
      <c r="D32" s="3"/>
      <c r="E32" s="3" t="str">
        <f>Sheet2!E13</f>
        <v>63347 / 262400</v>
      </c>
      <c r="G32" s="3" t="str">
        <f>Sheet2!G13</f>
        <v>63395 / 262400</v>
      </c>
    </row>
    <row r="33" spans="1:7">
      <c r="B33" t="str">
        <f>$A$16</f>
        <v>FF</v>
      </c>
      <c r="C33" s="3" t="str">
        <f>Sheet2!C14</f>
        <v>122163 / 524800</v>
      </c>
      <c r="D33" s="3"/>
      <c r="E33" s="3" t="str">
        <f>Sheet2!E14</f>
        <v>101662 / 524800</v>
      </c>
      <c r="G33" s="3" t="str">
        <f>Sheet2!G14</f>
        <v>112473 / 524800</v>
      </c>
    </row>
    <row r="34" spans="1:7">
      <c r="B34" t="str">
        <f>$A$17</f>
        <v>mem</v>
      </c>
      <c r="C34" s="3" t="str">
        <f>Sheet2!C15</f>
        <v>678 / 2567</v>
      </c>
      <c r="D34" s="3"/>
      <c r="E34" s="3" t="str">
        <f>Sheet2!E15</f>
        <v>779 / 2567</v>
      </c>
      <c r="G34" s="3" t="str">
        <f>Sheet2!G15</f>
        <v>914 / 2567</v>
      </c>
    </row>
    <row r="35" spans="1:7">
      <c r="A35" s="1" t="s">
        <v>7</v>
      </c>
      <c r="B35" t="str">
        <f>$A$15</f>
        <v>logic</v>
      </c>
      <c r="C35" s="3" t="str">
        <f>Sheet2!C7</f>
        <v>78787 / 262400</v>
      </c>
      <c r="D35" s="3"/>
      <c r="E35" s="3" t="str">
        <f>Sheet2!E7</f>
        <v>61872 / 262400</v>
      </c>
      <c r="G35" s="3" t="str">
        <f>Sheet2!G7</f>
        <v>61920 / 262400</v>
      </c>
    </row>
    <row r="36" spans="1:7">
      <c r="B36" t="str">
        <f>$A$16</f>
        <v>FF</v>
      </c>
      <c r="C36" s="3" t="str">
        <f>Sheet2!C8</f>
        <v>140195 / 524800</v>
      </c>
      <c r="D36" s="3"/>
      <c r="E36" s="3" t="str">
        <f>Sheet2!E8</f>
        <v>108158 / 524800</v>
      </c>
      <c r="G36" s="3" t="str">
        <f>Sheet2!G8</f>
        <v>108268/524800</v>
      </c>
    </row>
    <row r="37" spans="1:7">
      <c r="B37" t="str">
        <f>$A$17</f>
        <v>mem</v>
      </c>
      <c r="C37" s="3" t="str">
        <f>Sheet2!C9</f>
        <v>724 / 2567</v>
      </c>
      <c r="D37" s="3"/>
      <c r="E37" s="3" t="str">
        <f>Sheet2!E9</f>
        <v>585 / 2567</v>
      </c>
      <c r="G37" s="3" t="str">
        <f>Sheet2!G9</f>
        <v>593 / 2567</v>
      </c>
    </row>
    <row r="38" spans="1:7" ht="16">
      <c r="A38" t="s">
        <v>80</v>
      </c>
      <c r="B38" t="str">
        <f>$A$15</f>
        <v>logic</v>
      </c>
      <c r="C38" s="5" t="s">
        <v>82</v>
      </c>
      <c r="D38" s="5"/>
      <c r="E38" s="6" t="s">
        <v>88</v>
      </c>
      <c r="F38" s="5"/>
      <c r="G38" s="6" t="s">
        <v>94</v>
      </c>
    </row>
    <row r="39" spans="1:7">
      <c r="B39" t="str">
        <f>$A$16</f>
        <v>FF</v>
      </c>
      <c r="C39" s="5" t="s">
        <v>83</v>
      </c>
      <c r="D39" s="3"/>
      <c r="E39" s="5" t="s">
        <v>89</v>
      </c>
      <c r="F39" s="5"/>
      <c r="G39" s="5" t="s">
        <v>95</v>
      </c>
    </row>
    <row r="40" spans="1:7">
      <c r="B40" t="str">
        <f>$A$17</f>
        <v>mem</v>
      </c>
      <c r="C40" s="5" t="s">
        <v>84</v>
      </c>
      <c r="D40" s="5"/>
      <c r="E40" s="5" t="s">
        <v>90</v>
      </c>
      <c r="F40" s="5"/>
      <c r="G40" s="5" t="s">
        <v>90</v>
      </c>
    </row>
    <row r="41" spans="1:7">
      <c r="A41" t="s">
        <v>81</v>
      </c>
      <c r="B41" t="str">
        <f>$A$15</f>
        <v>logic</v>
      </c>
      <c r="C41" s="5" t="s">
        <v>85</v>
      </c>
      <c r="D41" s="5"/>
      <c r="E41" s="5" t="s">
        <v>91</v>
      </c>
      <c r="F41" s="5"/>
      <c r="G41" s="5" t="s">
        <v>96</v>
      </c>
    </row>
    <row r="42" spans="1:7">
      <c r="B42" t="str">
        <f>$A$16</f>
        <v>FF</v>
      </c>
      <c r="C42" s="5" t="s">
        <v>86</v>
      </c>
      <c r="D42" s="5"/>
      <c r="E42" s="5" t="s">
        <v>92</v>
      </c>
      <c r="F42" s="5"/>
      <c r="G42" s="5" t="s">
        <v>97</v>
      </c>
    </row>
    <row r="43" spans="1:7">
      <c r="B43" t="str">
        <f>$A$17</f>
        <v>mem</v>
      </c>
      <c r="C43" s="5" t="s">
        <v>87</v>
      </c>
      <c r="D43" s="5"/>
      <c r="E43" s="5" t="s">
        <v>93</v>
      </c>
      <c r="F43" s="5"/>
      <c r="G43" s="5" t="s">
        <v>98</v>
      </c>
    </row>
    <row r="52" spans="1:5">
      <c r="C52" t="s">
        <v>0</v>
      </c>
      <c r="D52" t="s">
        <v>11</v>
      </c>
    </row>
    <row r="53" spans="1:5">
      <c r="A53" s="1" t="s">
        <v>2</v>
      </c>
      <c r="B53" t="str">
        <f>$A$15</f>
        <v>logic</v>
      </c>
      <c r="C53" s="4">
        <f t="shared" ref="C53:C75" ca="1" si="4">EVAL($E20)/EVAL($C20)</f>
        <v>0.96819787985865735</v>
      </c>
      <c r="D53" s="4">
        <f t="shared" ref="D53:D76" ca="1" si="5">EVAL($G20)/EVAL($C20)</f>
        <v>0.96943052017421316</v>
      </c>
    </row>
    <row r="54" spans="1:5">
      <c r="B54" t="str">
        <f>$A$16</f>
        <v>FF</v>
      </c>
      <c r="C54" s="4">
        <f t="shared" ca="1" si="4"/>
        <v>0.98050857056558183</v>
      </c>
      <c r="D54" s="4">
        <f t="shared" ca="1" si="5"/>
        <v>0.98086725062297053</v>
      </c>
    </row>
    <row r="55" spans="1:5">
      <c r="B55" t="str">
        <f>$A$17</f>
        <v>mem</v>
      </c>
      <c r="C55" s="4">
        <f t="shared" ca="1" si="4"/>
        <v>1.0963636363636362</v>
      </c>
      <c r="D55" s="4">
        <f t="shared" ca="1" si="5"/>
        <v>1.2327272727272727</v>
      </c>
    </row>
    <row r="56" spans="1:5">
      <c r="A56" s="1" t="s">
        <v>3</v>
      </c>
      <c r="B56" t="str">
        <f>$A$15</f>
        <v>logic</v>
      </c>
      <c r="C56" s="4">
        <f t="shared" ca="1" si="4"/>
        <v>0.96997876787859827</v>
      </c>
      <c r="D56" s="4">
        <f t="shared" ca="1" si="5"/>
        <v>0.97060421021446086</v>
      </c>
      <c r="E56" s="3"/>
    </row>
    <row r="57" spans="1:5">
      <c r="B57" t="str">
        <f>$A$16</f>
        <v>FF</v>
      </c>
      <c r="C57" s="4">
        <f t="shared" ca="1" si="4"/>
        <v>0.98589325292265539</v>
      </c>
      <c r="D57" s="4">
        <f t="shared" ca="1" si="5"/>
        <v>0.98910841173057351</v>
      </c>
      <c r="E57" s="3"/>
    </row>
    <row r="58" spans="1:5">
      <c r="B58" t="str">
        <f>$A$17</f>
        <v>mem</v>
      </c>
      <c r="C58" s="4">
        <f t="shared" ca="1" si="4"/>
        <v>1.0620300751879699</v>
      </c>
      <c r="D58" s="4">
        <f t="shared" ca="1" si="5"/>
        <v>1.1334586466165413</v>
      </c>
      <c r="E58" s="3"/>
    </row>
    <row r="59" spans="1:5">
      <c r="A59" s="1" t="s">
        <v>4</v>
      </c>
      <c r="B59" t="str">
        <f>$A$15</f>
        <v>logic</v>
      </c>
      <c r="C59" s="4">
        <f t="shared" ca="1" si="4"/>
        <v>0.96780608107357502</v>
      </c>
      <c r="D59" s="4">
        <f t="shared" ca="1" si="5"/>
        <v>1.0367152871124343</v>
      </c>
      <c r="E59" s="3"/>
    </row>
    <row r="60" spans="1:5">
      <c r="B60" t="str">
        <f>$A$16</f>
        <v>FF</v>
      </c>
      <c r="C60" s="4">
        <f t="shared" ca="1" si="4"/>
        <v>0.97097637945873583</v>
      </c>
      <c r="D60" s="4">
        <f t="shared" ca="1" si="5"/>
        <v>1.0305536960887445</v>
      </c>
      <c r="E60" s="3"/>
    </row>
    <row r="61" spans="1:5">
      <c r="B61" t="str">
        <f>$A$17</f>
        <v>mem</v>
      </c>
      <c r="C61" s="4">
        <f t="shared" ca="1" si="4"/>
        <v>1.1344364012409514</v>
      </c>
      <c r="D61" s="4">
        <f t="shared" ca="1" si="5"/>
        <v>1.2368148914167527</v>
      </c>
      <c r="E61" s="3"/>
    </row>
    <row r="62" spans="1:5">
      <c r="A62" s="1" t="s">
        <v>5</v>
      </c>
      <c r="B62" t="str">
        <f>$A$15</f>
        <v>logic</v>
      </c>
      <c r="C62" s="4">
        <f t="shared" ca="1" si="4"/>
        <v>0.99972821471037876</v>
      </c>
      <c r="D62" s="4">
        <f t="shared" ca="1" si="5"/>
        <v>1.000526583998641</v>
      </c>
      <c r="E62" s="3"/>
    </row>
    <row r="63" spans="1:5">
      <c r="B63" t="str">
        <f>$A$16</f>
        <v>FF</v>
      </c>
      <c r="C63" s="4">
        <f t="shared" ca="1" si="4"/>
        <v>0.99828003756239803</v>
      </c>
      <c r="D63" s="4">
        <f t="shared" ca="1" si="5"/>
        <v>1.0008303266940146</v>
      </c>
      <c r="E63" s="3"/>
    </row>
    <row r="64" spans="1:5">
      <c r="B64" t="str">
        <f>$A$17</f>
        <v>mem</v>
      </c>
      <c r="C64" s="4">
        <f t="shared" ca="1" si="4"/>
        <v>1</v>
      </c>
      <c r="D64" s="4">
        <f t="shared" ca="1" si="5"/>
        <v>1.006825938566553</v>
      </c>
      <c r="E64" s="3"/>
    </row>
    <row r="65" spans="1:5">
      <c r="A65" s="1" t="s">
        <v>6</v>
      </c>
      <c r="B65" t="str">
        <f>$A$15</f>
        <v>logic</v>
      </c>
      <c r="C65" s="4">
        <f t="shared" ca="1" si="4"/>
        <v>0.90516403749428442</v>
      </c>
      <c r="D65" s="4">
        <f t="shared" ca="1" si="5"/>
        <v>0.90584990855052583</v>
      </c>
      <c r="E65" s="3"/>
    </row>
    <row r="66" spans="1:5">
      <c r="B66" t="str">
        <f>$A$16</f>
        <v>FF</v>
      </c>
      <c r="C66" s="4">
        <f t="shared" ca="1" si="4"/>
        <v>0.83218323060173705</v>
      </c>
      <c r="D66" s="4">
        <f t="shared" ca="1" si="5"/>
        <v>0.92067974755040394</v>
      </c>
      <c r="E66" s="3"/>
    </row>
    <row r="67" spans="1:5">
      <c r="B67" t="str">
        <f>$A$17</f>
        <v>mem</v>
      </c>
      <c r="C67" s="4">
        <f t="shared" ca="1" si="4"/>
        <v>1.1489675516224189</v>
      </c>
      <c r="D67" s="4">
        <f t="shared" ca="1" si="5"/>
        <v>1.3480825958702065</v>
      </c>
      <c r="E67" s="3"/>
    </row>
    <row r="68" spans="1:5">
      <c r="A68" s="1" t="s">
        <v>7</v>
      </c>
      <c r="B68" t="str">
        <f>$A$15</f>
        <v>logic</v>
      </c>
      <c r="C68" s="4">
        <f t="shared" ca="1" si="4"/>
        <v>0.78530722073438508</v>
      </c>
      <c r="D68" s="4">
        <f t="shared" ca="1" si="5"/>
        <v>0.78591645829895795</v>
      </c>
      <c r="E68" s="3"/>
    </row>
    <row r="69" spans="1:5">
      <c r="B69" t="str">
        <f>$A$16</f>
        <v>FF</v>
      </c>
      <c r="C69" s="4">
        <f t="shared" ca="1" si="4"/>
        <v>0.77148257783801133</v>
      </c>
      <c r="D69" s="4">
        <f t="shared" ca="1" si="5"/>
        <v>0.77226719925817611</v>
      </c>
      <c r="E69" s="3"/>
    </row>
    <row r="70" spans="1:5">
      <c r="B70" t="str">
        <f>$A$17</f>
        <v>mem</v>
      </c>
      <c r="C70" s="4">
        <f t="shared" ca="1" si="4"/>
        <v>0.80801104972375692</v>
      </c>
      <c r="D70" s="4">
        <f t="shared" ca="1" si="5"/>
        <v>0.81906077348066297</v>
      </c>
      <c r="E70" s="3"/>
    </row>
    <row r="71" spans="1:5">
      <c r="A71" t="s">
        <v>80</v>
      </c>
      <c r="B71" t="str">
        <f>$A$15</f>
        <v>logic</v>
      </c>
      <c r="C71" s="4">
        <f t="shared" ca="1" si="4"/>
        <v>0.99832201670178733</v>
      </c>
      <c r="D71" s="4">
        <f t="shared" ca="1" si="5"/>
        <v>0.99683914774057603</v>
      </c>
      <c r="E71" s="3"/>
    </row>
    <row r="72" spans="1:5">
      <c r="B72" t="str">
        <f>$A$16</f>
        <v>FF</v>
      </c>
      <c r="C72" s="4">
        <f t="shared" ca="1" si="4"/>
        <v>0.9985120431507486</v>
      </c>
      <c r="D72" s="4">
        <f t="shared" ca="1" si="5"/>
        <v>0.997558820794197</v>
      </c>
      <c r="E72" s="3"/>
    </row>
    <row r="73" spans="1:5">
      <c r="B73" t="str">
        <f>$A$17</f>
        <v>mem</v>
      </c>
      <c r="C73" s="4">
        <f t="shared" ca="1" si="4"/>
        <v>1.0027855153203342</v>
      </c>
      <c r="D73" s="4">
        <f t="shared" ca="1" si="5"/>
        <v>1.0027855153203342</v>
      </c>
      <c r="E73" s="2"/>
    </row>
    <row r="74" spans="1:5">
      <c r="A74" t="s">
        <v>81</v>
      </c>
      <c r="B74" t="str">
        <f>$A$15</f>
        <v>logic</v>
      </c>
      <c r="C74" s="4">
        <f t="shared" ca="1" si="4"/>
        <v>1.0015236597323767</v>
      </c>
      <c r="D74" s="4">
        <f t="shared" ca="1" si="5"/>
        <v>1.0056830050501948</v>
      </c>
      <c r="E74" s="2"/>
    </row>
    <row r="75" spans="1:5">
      <c r="B75" t="str">
        <f>$A$16</f>
        <v>FF</v>
      </c>
      <c r="C75" s="4">
        <f t="shared" ca="1" si="4"/>
        <v>1.0006992176677791</v>
      </c>
      <c r="D75" s="4">
        <f t="shared" ca="1" si="5"/>
        <v>1.0049967677673848</v>
      </c>
      <c r="E75" s="2"/>
    </row>
    <row r="76" spans="1:5">
      <c r="B76" t="str">
        <f>$A$17</f>
        <v>mem</v>
      </c>
      <c r="C76" s="4">
        <f ca="1">EVAL($E43)/EVAL($C43)</f>
        <v>0.99847405900305175</v>
      </c>
      <c r="D76" s="4">
        <f t="shared" ca="1" si="5"/>
        <v>1.0132248219735502</v>
      </c>
    </row>
  </sheetData>
  <phoneticPr fontId="4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21"/>
  <sheetViews>
    <sheetView workbookViewId="0">
      <selection activeCell="E30" sqref="E30"/>
    </sheetView>
  </sheetViews>
  <sheetFormatPr baseColWidth="10" defaultRowHeight="15" x14ac:dyDescent="0"/>
  <cols>
    <col min="1" max="1" width="16.6640625" customWidth="1"/>
    <col min="2" max="2" width="20.1640625" customWidth="1"/>
    <col min="3" max="3" width="21.6640625" customWidth="1"/>
    <col min="4" max="4" width="21.33203125" customWidth="1"/>
    <col min="5" max="5" width="19.83203125" customWidth="1"/>
    <col min="6" max="6" width="17.33203125" customWidth="1"/>
    <col min="7" max="7" width="21.83203125" customWidth="1"/>
  </cols>
  <sheetData>
    <row r="1" spans="1:7">
      <c r="A1" t="s">
        <v>43</v>
      </c>
    </row>
    <row r="2" spans="1:7">
      <c r="B2" t="s">
        <v>44</v>
      </c>
      <c r="C2" t="s">
        <v>45</v>
      </c>
      <c r="D2" t="s">
        <v>46</v>
      </c>
    </row>
    <row r="3" spans="1:7">
      <c r="B3" t="s">
        <v>43</v>
      </c>
      <c r="C3" t="s">
        <v>47</v>
      </c>
      <c r="D3" t="s">
        <v>43</v>
      </c>
      <c r="E3" t="s">
        <v>47</v>
      </c>
      <c r="F3" t="s">
        <v>43</v>
      </c>
      <c r="G3" t="s">
        <v>47</v>
      </c>
    </row>
    <row r="4" spans="1:7">
      <c r="A4" t="s">
        <v>48</v>
      </c>
      <c r="B4">
        <v>9.6433210000000003</v>
      </c>
      <c r="C4" t="s">
        <v>49</v>
      </c>
      <c r="D4">
        <v>2.359</v>
      </c>
      <c r="E4" t="s">
        <v>16</v>
      </c>
      <c r="F4">
        <v>1.54</v>
      </c>
      <c r="G4" t="s">
        <v>30</v>
      </c>
    </row>
    <row r="5" spans="1:7">
      <c r="C5" t="s">
        <v>50</v>
      </c>
      <c r="E5" t="s">
        <v>17</v>
      </c>
      <c r="G5" t="s">
        <v>31</v>
      </c>
    </row>
    <row r="6" spans="1:7">
      <c r="C6" t="s">
        <v>51</v>
      </c>
      <c r="E6" t="s">
        <v>18</v>
      </c>
      <c r="G6" t="s">
        <v>32</v>
      </c>
    </row>
    <row r="7" spans="1:7">
      <c r="A7" t="s">
        <v>52</v>
      </c>
      <c r="B7">
        <v>35.508000000000003</v>
      </c>
      <c r="C7" t="s">
        <v>53</v>
      </c>
      <c r="D7">
        <v>2.2930000000000001</v>
      </c>
      <c r="E7" t="s">
        <v>54</v>
      </c>
      <c r="F7">
        <v>1.803984</v>
      </c>
      <c r="G7" t="s">
        <v>55</v>
      </c>
    </row>
    <row r="8" spans="1:7">
      <c r="C8" t="s">
        <v>56</v>
      </c>
      <c r="E8" t="s">
        <v>57</v>
      </c>
      <c r="G8" t="s">
        <v>58</v>
      </c>
    </row>
    <row r="9" spans="1:7">
      <c r="C9" t="s">
        <v>59</v>
      </c>
      <c r="E9" t="s">
        <v>19</v>
      </c>
      <c r="G9" t="s">
        <v>33</v>
      </c>
    </row>
    <row r="10" spans="1:7">
      <c r="A10" t="s">
        <v>60</v>
      </c>
      <c r="B10">
        <v>1.2625</v>
      </c>
      <c r="C10" t="s">
        <v>20</v>
      </c>
      <c r="D10">
        <v>0.78390000000000004</v>
      </c>
      <c r="E10" t="s">
        <v>61</v>
      </c>
      <c r="F10">
        <v>0.63119999999999998</v>
      </c>
      <c r="G10" t="s">
        <v>62</v>
      </c>
    </row>
    <row r="11" spans="1:7">
      <c r="C11" t="s">
        <v>21</v>
      </c>
      <c r="E11" t="s">
        <v>63</v>
      </c>
      <c r="G11" t="s">
        <v>64</v>
      </c>
    </row>
    <row r="12" spans="1:7">
      <c r="C12" t="s">
        <v>22</v>
      </c>
      <c r="E12" t="s">
        <v>22</v>
      </c>
      <c r="G12" t="s">
        <v>34</v>
      </c>
    </row>
    <row r="13" spans="1:7">
      <c r="A13" t="s">
        <v>65</v>
      </c>
      <c r="B13">
        <v>3.593</v>
      </c>
      <c r="C13" t="s">
        <v>66</v>
      </c>
      <c r="D13">
        <v>1.3580000000000001</v>
      </c>
      <c r="E13" t="s">
        <v>23</v>
      </c>
      <c r="F13">
        <v>0.4622</v>
      </c>
      <c r="G13" t="s">
        <v>35</v>
      </c>
    </row>
    <row r="14" spans="1:7">
      <c r="C14" t="s">
        <v>67</v>
      </c>
      <c r="E14" t="s">
        <v>24</v>
      </c>
      <c r="G14" t="s">
        <v>36</v>
      </c>
    </row>
    <row r="15" spans="1:7">
      <c r="C15" t="s">
        <v>40</v>
      </c>
      <c r="E15" t="s">
        <v>25</v>
      </c>
      <c r="G15" t="s">
        <v>37</v>
      </c>
    </row>
    <row r="16" spans="1:7">
      <c r="A16" t="s">
        <v>68</v>
      </c>
      <c r="B16">
        <v>2.7425899999999999</v>
      </c>
      <c r="C16" t="s">
        <v>69</v>
      </c>
      <c r="D16">
        <v>2.4998649999999998</v>
      </c>
      <c r="E16" t="s">
        <v>70</v>
      </c>
      <c r="F16">
        <v>2.3982450000000002</v>
      </c>
      <c r="G16" t="s">
        <v>38</v>
      </c>
    </row>
    <row r="17" spans="1:7">
      <c r="C17" t="s">
        <v>71</v>
      </c>
      <c r="E17" t="s">
        <v>72</v>
      </c>
      <c r="G17" t="s">
        <v>39</v>
      </c>
    </row>
    <row r="18" spans="1:7">
      <c r="C18" t="s">
        <v>73</v>
      </c>
      <c r="E18" t="s">
        <v>26</v>
      </c>
      <c r="G18" t="s">
        <v>40</v>
      </c>
    </row>
    <row r="19" spans="1:7">
      <c r="A19" t="s">
        <v>74</v>
      </c>
      <c r="B19">
        <v>38.387999999999998</v>
      </c>
      <c r="C19" t="s">
        <v>75</v>
      </c>
      <c r="D19">
        <v>5.9404000000000003</v>
      </c>
      <c r="E19" t="s">
        <v>27</v>
      </c>
      <c r="F19">
        <v>3.34</v>
      </c>
      <c r="G19" t="s">
        <v>41</v>
      </c>
    </row>
    <row r="20" spans="1:7">
      <c r="C20" t="s">
        <v>76</v>
      </c>
      <c r="E20" t="s">
        <v>28</v>
      </c>
      <c r="G20" t="s">
        <v>42</v>
      </c>
    </row>
    <row r="21" spans="1:7">
      <c r="C21" t="s">
        <v>77</v>
      </c>
      <c r="E21" t="s">
        <v>29</v>
      </c>
      <c r="G21" t="s">
        <v>26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Stanford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De Sa</dc:creator>
  <cp:lastModifiedBy>Christopher De Sa</cp:lastModifiedBy>
  <cp:lastPrinted>2015-08-11T02:17:47Z</cp:lastPrinted>
  <dcterms:created xsi:type="dcterms:W3CDTF">2015-08-11T01:07:55Z</dcterms:created>
  <dcterms:modified xsi:type="dcterms:W3CDTF">2016-01-26T05:33:34Z</dcterms:modified>
</cp:coreProperties>
</file>